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age Tracker" sheetId="1" state="visible" r:id="rId3"/>
    <sheet name="Action Plan" sheetId="2" state="visible" r:id="rId4"/>
    <sheet name="Canada" sheetId="3" state="visible" r:id="rId5"/>
  </sheets>
  <definedNames>
    <definedName function="false" hidden="true" localSheetId="2" name="_xlnm._FilterDatabase" vbProcedure="false">Canada!$A$1:$J$1</definedName>
    <definedName function="false" hidden="true" localSheetId="0" name="_xlnm._FilterDatabase" vbProcedure="false">'Coverage Tracker'!$A$1:$J$48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<sst xmlns="http://schemas.openxmlformats.org/spreadsheetml/2006/main" count="619" uniqueCount="325">
  <si>
    <t xml:space="preserve">Region</t>
  </si>
  <si>
    <t xml:space="preserve">State(s)</t>
  </si>
  <si>
    <t xml:space="preserve">Intergroup / CSO</t>
  </si>
  <si>
    <t xml:space="preserve">Website</t>
  </si>
  <si>
    <t xml:space="preserve">TSML Status</t>
  </si>
  <si>
    <t xml:space="preserve">Est. Meetings</t>
  </si>
  <si>
    <t xml:space="preserve">Source ID (proposed)</t>
  </si>
  <si>
    <t xml:space="preserve">In App?</t>
  </si>
  <si>
    <t xml:space="preserve">Priority</t>
  </si>
  <si>
    <t xml:space="preserve">Action / Notes</t>
  </si>
  <si>
    <t xml:space="preserve">New England</t>
  </si>
  <si>
    <t xml:space="preserve">MA</t>
  </si>
  <si>
    <t xml:space="preserve">AA — Eastern Massachusetts (Boston)</t>
  </si>
  <si>
    <t xml:space="preserve">aaboston.org</t>
  </si>
  <si>
    <t xml:space="preserve">🔒 Restricted</t>
  </si>
  <si>
    <t xml:space="preserve">~300</t>
  </si>
  <si>
    <t xml:space="preserve">tsml-page-ema-boston</t>
  </si>
  <si>
    <t xml:space="preserve">Yes (page)</t>
  </si>
  <si>
    <t xml:space="preserve">Using TsmlPageAdapter (HTML extraction). Monitor for feed to open.</t>
  </si>
  <si>
    <t xml:space="preserve">AA — Western Massachusetts</t>
  </si>
  <si>
    <t xml:space="preserve">westernmassaa.net</t>
  </si>
  <si>
    <t xml:space="preserve">✅ Public</t>
  </si>
  <si>
    <t xml:space="preserve">~492</t>
  </si>
  <si>
    <t xml:space="preserve">tsml-aa-wma</t>
  </si>
  <si>
    <t xml:space="preserve">Yes</t>
  </si>
  <si>
    <t xml:space="preserve">Active.</t>
  </si>
  <si>
    <t xml:space="preserve">CT</t>
  </si>
  <si>
    <t xml:space="preserve">AA — Connecticut</t>
  </si>
  <si>
    <t xml:space="preserve">ct-aa.org</t>
  </si>
  <si>
    <t xml:space="preserve">~1,906</t>
  </si>
  <si>
    <t xml:space="preserve">tsml-aa-ct</t>
  </si>
  <si>
    <t xml:space="preserve">RI</t>
  </si>
  <si>
    <t xml:space="preserve">AA — Rhode Island</t>
  </si>
  <si>
    <t xml:space="preserve">rhodeisland-aa.org</t>
  </si>
  <si>
    <t xml:space="preserve">~720</t>
  </si>
  <si>
    <t xml:space="preserve">tsml-aa-ri</t>
  </si>
  <si>
    <t xml:space="preserve">VT</t>
  </si>
  <si>
    <t xml:space="preserve">AA — Vermont</t>
  </si>
  <si>
    <t xml:space="preserve">aavt.org</t>
  </si>
  <si>
    <t xml:space="preserve">~524</t>
  </si>
  <si>
    <t xml:space="preserve">tsml-aa-vt</t>
  </si>
  <si>
    <t xml:space="preserve">NH</t>
  </si>
  <si>
    <t xml:space="preserve">AA — New Hampshire</t>
  </si>
  <si>
    <t xml:space="preserve">nhaa.net</t>
  </si>
  <si>
    <t xml:space="preserve">Unknown</t>
  </si>
  <si>
    <t xml:space="preserve">tsml-aa-nh</t>
  </si>
  <si>
    <t xml:space="preserve">No</t>
  </si>
  <si>
    <t xml:space="preserve">TSML installed; feed set to Restricted (403). Contact webmaster to open.</t>
  </si>
  <si>
    <t xml:space="preserve">ME</t>
  </si>
  <si>
    <t xml:space="preserve">AA — Maine</t>
  </si>
  <si>
    <t xml:space="preserve">maineaa.org</t>
  </si>
  <si>
    <t xml:space="preserve">❌ No TSML</t>
  </si>
  <si>
    <t xml:space="preserve">—</t>
  </si>
  <si>
    <t xml:space="preserve">EventEspresso installed; /wp-json/em/v2/events → 404 (not exposed). Outreach needed.</t>
  </si>
  <si>
    <t xml:space="preserve">Mid-Atlantic</t>
  </si>
  <si>
    <t xml:space="preserve">NY</t>
  </si>
  <si>
    <t xml:space="preserve">AA — Greater New York</t>
  </si>
  <si>
    <t xml:space="preserve">nyintergroup.org</t>
  </si>
  <si>
    <t xml:space="preserve">~100+</t>
  </si>
  <si>
    <t xml:space="preserve">tsml-aa-nyc</t>
  </si>
  <si>
    <t xml:space="preserve">Active (Phase 1).</t>
  </si>
  <si>
    <t xml:space="preserve">MD</t>
  </si>
  <si>
    <t xml:space="preserve">AA — Baltimore</t>
  </si>
  <si>
    <t xml:space="preserve">baltimoreaa.org</t>
  </si>
  <si>
    <t xml:space="preserve">~200+</t>
  </si>
  <si>
    <t xml:space="preserve">tsml-aa-baltimore</t>
  </si>
  <si>
    <t xml:space="preserve">DC</t>
  </si>
  <si>
    <t xml:space="preserve">AA — Washington DC</t>
  </si>
  <si>
    <t xml:space="preserve">aa-dc.org</t>
  </si>
  <si>
    <t xml:space="preserve">~101</t>
  </si>
  <si>
    <t xml:space="preserve">tsml-aa-dc</t>
  </si>
  <si>
    <t xml:space="preserve">Feed confirmed on re-check (no-www domain; www has TLS cert mismatch). Active.</t>
  </si>
  <si>
    <t xml:space="preserve">PA</t>
  </si>
  <si>
    <t xml:space="preserve">AA — Philadelphia</t>
  </si>
  <si>
    <t xml:space="preserve">philaaa.org</t>
  </si>
  <si>
    <t xml:space="preserve">philaaa.org, philaintergroup.org, aaphiladelphia.org all ECONNREFUSED Mar 2026. No reachable domain.</t>
  </si>
  <si>
    <t xml:space="preserve">NJ</t>
  </si>
  <si>
    <t xml:space="preserve">AA — Northern NJ</t>
  </si>
  <si>
    <t xml:space="preserve">nnjaa.org</t>
  </si>
  <si>
    <t xml:space="preserve">nnjaa.org is a static site (no WordPress API at all).</t>
  </si>
  <si>
    <t xml:space="preserve">AA — Western PA</t>
  </si>
  <si>
    <t xml:space="preserve">wpaaa.org</t>
  </si>
  <si>
    <t xml:space="preserve">wpaaa.org ad-hijacked; www.wpaaa.org error page; wpaaintergroup.org → ECONNREFUSED.</t>
  </si>
  <si>
    <t xml:space="preserve">Southeast</t>
  </si>
  <si>
    <t xml:space="preserve">GA</t>
  </si>
  <si>
    <t xml:space="preserve">AA — Metro Atlanta</t>
  </si>
  <si>
    <t xml:space="preserve">atlantaaa.org</t>
  </si>
  <si>
    <t xml:space="preserve">tsml-aa-atlanta</t>
  </si>
  <si>
    <t xml:space="preserve">TN</t>
  </si>
  <si>
    <t xml:space="preserve">AA — Middle Tennessee (Nashville)</t>
  </si>
  <si>
    <t xml:space="preserve">aanashville.org</t>
  </si>
  <si>
    <t xml:space="preserve">~400-500+</t>
  </si>
  <si>
    <t xml:space="preserve">tsml-aa-nashville</t>
  </si>
  <si>
    <t xml:space="preserve">NC</t>
  </si>
  <si>
    <t xml:space="preserve">AA — Charlotte (Metrolina)</t>
  </si>
  <si>
    <t xml:space="preserve">charlotteaa.org</t>
  </si>
  <si>
    <t xml:space="preserve">tsml-aa-charlotte</t>
  </si>
  <si>
    <t xml:space="preserve">TSML installed, feed restricted (403). Contact webmaster.</t>
  </si>
  <si>
    <t xml:space="preserve">FL</t>
  </si>
  <si>
    <t xml:space="preserve">AA — Miami</t>
  </si>
  <si>
    <t xml:space="preserve">aaofmiami.org</t>
  </si>
  <si>
    <t xml:space="preserve">aaofmiami.org, aamiami.org, miamiintergroup.org all ECONNREFUSED Mar 2026.</t>
  </si>
  <si>
    <t xml:space="preserve">AA — Orlando</t>
  </si>
  <si>
    <t xml:space="preserve">aaorlando.org</t>
  </si>
  <si>
    <t xml:space="preserve">aaorlando.org, aaorlandofl.org all ECONNREFUSED Mar 2026.</t>
  </si>
  <si>
    <t xml:space="preserve">AA — Tampa Bay</t>
  </si>
  <si>
    <t xml:space="preserve">tampabayaa.org</t>
  </si>
  <si>
    <t xml:space="preserve">tampabayaa.org → usaftba.org (no TSML); tbaa.org → 404. Outreach needed.</t>
  </si>
  <si>
    <t xml:space="preserve">VA</t>
  </si>
  <si>
    <t xml:space="preserve">AA — Charlottesville</t>
  </si>
  <si>
    <t xml:space="preserve">aacharlottesville.org</t>
  </si>
  <si>
    <t xml:space="preserve">Connection refused.</t>
  </si>
  <si>
    <t xml:space="preserve">Midwest</t>
  </si>
  <si>
    <t xml:space="preserve">IL</t>
  </si>
  <si>
    <t xml:space="preserve">AA — Chicago</t>
  </si>
  <si>
    <t xml:space="preserve">chicagoaa.org</t>
  </si>
  <si>
    <t xml:space="preserve">tsml-aa-chicago</t>
  </si>
  <si>
    <t xml:space="preserve">TSML installed, 403 on wp-json. High-value — contact webmaster.</t>
  </si>
  <si>
    <t xml:space="preserve">MN</t>
  </si>
  <si>
    <t xml:space="preserve">AA — Greater Minneapolis</t>
  </si>
  <si>
    <t xml:space="preserve">aaminneapolis.org</t>
  </si>
  <si>
    <t xml:space="preserve">Tribe Events API at /wp-json/tribe/events/v1/events: only 49 one-off special events (workshops/speakers) — no recurring weekly meeting calendar. Not usable.</t>
  </si>
  <si>
    <t xml:space="preserve">OH</t>
  </si>
  <si>
    <t xml:space="preserve">AA — Cleveland</t>
  </si>
  <si>
    <t xml:space="preserve">aacleveland.org</t>
  </si>
  <si>
    <t xml:space="preserve">404 on wp-json.</t>
  </si>
  <si>
    <t xml:space="preserve">AA — Columbus</t>
  </si>
  <si>
    <t xml:space="preserve">aacolumbus.org</t>
  </si>
  <si>
    <t xml:space="preserve">aacolumbus.org ECONNREFUSED; columbusintergroup.org → 404 Mar 2026.</t>
  </si>
  <si>
    <t xml:space="preserve">MI</t>
  </si>
  <si>
    <t xml:space="preserve">AA — Detroit</t>
  </si>
  <si>
    <t xml:space="preserve">aadetroit.org</t>
  </si>
  <si>
    <t xml:space="preserve">aadetroit.org, aadetroitintergroup.org all ECONNREFUSED Mar 2026.</t>
  </si>
  <si>
    <t xml:space="preserve">WI</t>
  </si>
  <si>
    <t xml:space="preserve">AA — Milwaukee</t>
  </si>
  <si>
    <t xml:space="preserve">aamilwaukee.org</t>
  </si>
  <si>
    <t xml:space="preserve">aamilwaukee.org → aamilwaukee.com (static site, no WordPress API).</t>
  </si>
  <si>
    <t xml:space="preserve">IN</t>
  </si>
  <si>
    <t xml:space="preserve">AA — Indianapolis</t>
  </si>
  <si>
    <t xml:space="preserve">indyaa.org</t>
  </si>
  <si>
    <t xml:space="preserve">Active (Phase 4). Canonical domain is indyaa.org — aaindianapolis.org unreachable.</t>
  </si>
  <si>
    <t xml:space="preserve">MO</t>
  </si>
  <si>
    <t xml:space="preserve">AA — Kansas City</t>
  </si>
  <si>
    <t xml:space="preserve">aakc.org</t>
  </si>
  <si>
    <t xml:space="preserve">tsml-aa-kc</t>
  </si>
  <si>
    <t xml:space="preserve">All domains JS-redirect to /lander. No API exposed.</t>
  </si>
  <si>
    <t xml:space="preserve">AA — St. Louis</t>
  </si>
  <si>
    <t xml:space="preserve">aastl.org</t>
  </si>
  <si>
    <t xml:space="preserve">Active (Phase 4). Canonical domain is aastl.org — aastlouis.org unreachable.</t>
  </si>
  <si>
    <t xml:space="preserve">South</t>
  </si>
  <si>
    <t xml:space="preserve">TX</t>
  </si>
  <si>
    <t xml:space="preserve">AA — Dallas</t>
  </si>
  <si>
    <t xml:space="preserve">aadallas.org</t>
  </si>
  <si>
    <t xml:space="preserve">~150+</t>
  </si>
  <si>
    <t xml:space="preserve">tsml-aa-dallas</t>
  </si>
  <si>
    <t xml:space="preserve">AA — San Antonio</t>
  </si>
  <si>
    <t xml:space="preserve">aasanantonio.org</t>
  </si>
  <si>
    <t xml:space="preserve">tsml-aa-sanantonio</t>
  </si>
  <si>
    <t xml:space="preserve">AA — Houston</t>
  </si>
  <si>
    <t xml:space="preserve">aahouston.org</t>
  </si>
  <si>
    <t xml:space="preserve">tsml-aa-houston</t>
  </si>
  <si>
    <t xml:space="preserve">aahouston.org, aacentraloffice.org all timeout/ECONNREFUSED Mar 2026.</t>
  </si>
  <si>
    <t xml:space="preserve">AA — Austin</t>
  </si>
  <si>
    <t xml:space="preserve">austinaa.org</t>
  </si>
  <si>
    <t xml:space="preserve">Active (Phase 4). Canonical domain is austinaa.org — aaaustin.org unreachable.</t>
  </si>
  <si>
    <t xml:space="preserve">LA</t>
  </si>
  <si>
    <t xml:space="preserve">AA — New Orleans</t>
  </si>
  <si>
    <t xml:space="preserve">aaneworleans.org</t>
  </si>
  <si>
    <t xml:space="preserve">tsml-aa-neworleans</t>
  </si>
  <si>
    <t xml:space="preserve">Mountain</t>
  </si>
  <si>
    <t xml:space="preserve">AZ</t>
  </si>
  <si>
    <t xml:space="preserve">AA — Phoenix</t>
  </si>
  <si>
    <t xml:space="preserve">aaphoenix.org</t>
  </si>
  <si>
    <t xml:space="preserve">tsml-aa-phoenix</t>
  </si>
  <si>
    <t xml:space="preserve">AA — Tucson</t>
  </si>
  <si>
    <t xml:space="preserve">aatucson.org</t>
  </si>
  <si>
    <t xml:space="preserve">~200-250+</t>
  </si>
  <si>
    <t xml:space="preserve">tsml-aa-tucson</t>
  </si>
  <si>
    <t xml:space="preserve">CO</t>
  </si>
  <si>
    <t xml:space="preserve">AA — Denver</t>
  </si>
  <si>
    <t xml:space="preserve">daccaa.org</t>
  </si>
  <si>
    <t xml:space="preserve">tsml-aa-denver</t>
  </si>
  <si>
    <t xml:space="preserve">401 on wp-json. TSML likely installed; contact webmaster.</t>
  </si>
  <si>
    <t xml:space="preserve">UT</t>
  </si>
  <si>
    <t xml:space="preserve">AA — Salt Lake City</t>
  </si>
  <si>
    <t xml:space="preserve">aaslc.org</t>
  </si>
  <si>
    <t xml:space="preserve">aaslc.org ECONNREFUSED; slcaa.org, saltlakecityaa.org → 404 Mar 2026.</t>
  </si>
  <si>
    <t xml:space="preserve">NM</t>
  </si>
  <si>
    <t xml:space="preserve">AA — Albuquerque</t>
  </si>
  <si>
    <t xml:space="preserve">aaalbuquerque.org</t>
  </si>
  <si>
    <t xml:space="preserve">Pacific NW</t>
  </si>
  <si>
    <t xml:space="preserve">WA</t>
  </si>
  <si>
    <t xml:space="preserve">AA — Seattle</t>
  </si>
  <si>
    <t xml:space="preserve">seattleaa.org</t>
  </si>
  <si>
    <t xml:space="preserve">tsml-aa-seattle</t>
  </si>
  <si>
    <t xml:space="preserve">OR</t>
  </si>
  <si>
    <t xml:space="preserve">AA — Portland</t>
  </si>
  <si>
    <t xml:space="preserve">pdxaa.org</t>
  </si>
  <si>
    <t xml:space="preserve">portlandaa.org refused; pdxaa.org is the canonical Portland intergroup site. Active.</t>
  </si>
  <si>
    <t xml:space="preserve">California</t>
  </si>
  <si>
    <t xml:space="preserve">CA</t>
  </si>
  <si>
    <t xml:space="preserve">AA — Oakland / East Bay</t>
  </si>
  <si>
    <t xml:space="preserve">aaoakland.org</t>
  </si>
  <si>
    <t xml:space="preserve">~500+</t>
  </si>
  <si>
    <t xml:space="preserve">tsml-aa-oakland</t>
  </si>
  <si>
    <t xml:space="preserve">AA — San Diego</t>
  </si>
  <si>
    <t xml:space="preserve">aasandiego.org</t>
  </si>
  <si>
    <t xml:space="preserve">tsml-aa-sandiego</t>
  </si>
  <si>
    <t xml:space="preserve">AA — Los Angeles</t>
  </si>
  <si>
    <t xml:space="preserve">laintergroup.org</t>
  </si>
  <si>
    <t xml:space="preserve">tsml-aa-la</t>
  </si>
  <si>
    <t xml:space="preserve">laintergroup.com has no wp-json; aala.org JS-redirects. No TSML found. Highest-value missing metro — recommend direct outreach.</t>
  </si>
  <si>
    <t xml:space="preserve">AA — San Francisco</t>
  </si>
  <si>
    <t xml:space="preserve">aasf.org</t>
  </si>
  <si>
    <t xml:space="preserve">Redirects to aasfmarin.org which uses Tribe Events, not TSML. sfaa.org=404, aasf.com=404.</t>
  </si>
  <si>
    <t xml:space="preserve">AA — Sacramento</t>
  </si>
  <si>
    <t xml:space="preserve">aasacramento.org</t>
  </si>
  <si>
    <t xml:space="preserve">tsml-aa-sacramento</t>
  </si>
  <si>
    <t xml:space="preserve">AA — Orange County</t>
  </si>
  <si>
    <t xml:space="preserve">aaorangecounty.org</t>
  </si>
  <si>
    <t xml:space="preserve">aaorangecounty.org ECONNREFUSED Mar 2026. No alternate found.</t>
  </si>
  <si>
    <t xml:space="preserve">✅ Public feeds</t>
  </si>
  <si>
    <t xml:space="preserve">⚠️ Unknown</t>
  </si>
  <si>
    <t xml:space="preserve">Already in app</t>
  </si>
  <si>
    <t xml:space="preserve">Priority 1 not yet in app</t>
  </si>
  <si>
    <t xml:space="preserve">Phase</t>
  </si>
  <si>
    <t xml:space="preserve">Action</t>
  </si>
  <si>
    <t xml:space="preserve">Sites / Targets</t>
  </si>
  <si>
    <t xml:space="preserve">Effort</t>
  </si>
  <si>
    <t xml:space="preserve">Est. Meetings Added</t>
  </si>
  <si>
    <t xml:space="preserve">Phase 1</t>
  </si>
  <si>
    <t xml:space="preserve">Uncomment 11 confirmed-public TsmlAdapters</t>
  </si>
  <si>
    <t xml:space="preserve">nyintergroup.org, baltimoreaa.org, atlantaaa.org, aanashville.org, aadallas.org, aasanantonio.org, aaphoenix.org, aatucson.org, seattleaa.org, aaoakland.org, aasandiego.org</t>
  </si>
  <si>
    <t xml:space="preserve">Low</t>
  </si>
  <si>
    <t xml:space="preserve">~2,350+ meetings — zero outreach needed</t>
  </si>
  <si>
    <t xml:space="preserve">Phase 2</t>
  </si>
  <si>
    <t xml:space="preserve">Outreach to 6 restricted-feed intergroups to open their feeds</t>
  </si>
  <si>
    <t xml:space="preserve">nhaa.net (NH), charlotteaa.org (NC), chicagoaa.org (IL), daccaa.org (CO), aaneworleans.org (LA), aasacramento.org (CA)</t>
  </si>
  <si>
    <t xml:space="preserve">Medium</t>
  </si>
  <si>
    <t xml:space="preserve">~1,000–2,000 if feeds open</t>
  </si>
  <si>
    <t xml:space="preserve">Phase 3</t>
  </si>
  <si>
    <t xml:space="preserve">Investigate 4 unknowns — confirm TSML or find alt domain</t>
  </si>
  <si>
    <t xml:space="preserve">aa-dc.org (TLS cert error), aahouston.org (empty response), aakc.org (JS redirect), laintergroup.com (try .com / aala.org)</t>
  </si>
  <si>
    <t xml:space="preserve">~500–1,500 if confirmed</t>
  </si>
  <si>
    <t xml:space="preserve">Phase 4</t>
  </si>
  <si>
    <t xml:space="preserve">Alternative strategies for TSML-less high-priority cities</t>
  </si>
  <si>
    <t xml:space="preserve">FL (Miami/Orlando/Tampa), MN/MI/OH (Minneapolis/Detroit/Cleveland), PA (Philadelphia), OR (Portland — try oregonaa.org), CA (San Francisco — try sfaa.org), TX (Austin)</t>
  </si>
  <si>
    <t xml:space="preserve">High</t>
  </si>
  <si>
    <t xml:space="preserve">Requires page-scraping or data partnership</t>
  </si>
  <si>
    <t xml:space="preserve">Phase 5</t>
  </si>
  <si>
    <t xml:space="preserve">Secondary cities and remaining gaps</t>
  </si>
  <si>
    <t xml:space="preserve">Houston suburbs, Denver suburbs, Raleigh, Richmond, Louisville, OKC, Las Vegas, San Jose, Riverside CA, Honolulu, Anchorage, PR</t>
  </si>
  <si>
    <t xml:space="preserve">TBD — additional research required</t>
  </si>
  <si>
    <t xml:space="preserve">Province(s)</t>
  </si>
  <si>
    <t xml:space="preserve">Western Canada</t>
  </si>
  <si>
    <t xml:space="preserve">BC, YT</t>
  </si>
  <si>
    <t xml:space="preserve">AA — British Columbia &amp; Yukon</t>
  </si>
  <si>
    <t xml:space="preserve">bcyukonaa.org</t>
  </si>
  <si>
    <t xml:space="preserve">~1,131</t>
  </si>
  <si>
    <t xml:space="preserve">tsml-aa-bcyukon</t>
  </si>
  <si>
    <t xml:space="preserve">Active (Mar 2026). Largest Canadian feed; covers BC + Yukon territory.</t>
  </si>
  <si>
    <t xml:space="preserve">AB</t>
  </si>
  <si>
    <t xml:space="preserve">AA — Calgary</t>
  </si>
  <si>
    <t xml:space="preserve">calgaryaa.org</t>
  </si>
  <si>
    <t xml:space="preserve">~453</t>
  </si>
  <si>
    <t xml:space="preserve">tsml-aa-calgary</t>
  </si>
  <si>
    <t xml:space="preserve">Active (Mar 2026). Calgary Intergroup serves greater Alberta.</t>
  </si>
  <si>
    <t xml:space="preserve">Central Canada</t>
  </si>
  <si>
    <t xml:space="preserve">MB</t>
  </si>
  <si>
    <t xml:space="preserve">AA — Manitoba</t>
  </si>
  <si>
    <t xml:space="preserve">aamanitoba.org</t>
  </si>
  <si>
    <t xml:space="preserve">~414</t>
  </si>
  <si>
    <t xml:space="preserve">tsml-aa-manitoba</t>
  </si>
  <si>
    <t xml:space="preserve">Active (Mar 2026). Use bare domain — www redirects; bare domain responds directly.</t>
  </si>
  <si>
    <t xml:space="preserve">ON</t>
  </si>
  <si>
    <t xml:space="preserve">AA — Toronto (Central Intergroup)</t>
  </si>
  <si>
    <t xml:space="preserve">aatoronto.org</t>
  </si>
  <si>
    <t xml:space="preserve">~495</t>
  </si>
  <si>
    <t xml:space="preserve">tsml-aa-toronto</t>
  </si>
  <si>
    <t xml:space="preserve">Active (Mar 2026). Toronto Central Intergroup; Ontario coverage.</t>
  </si>
  <si>
    <t xml:space="preserve">National</t>
  </si>
  <si>
    <t xml:space="preserve">US/CA</t>
  </si>
  <si>
    <t xml:space="preserve">AA World Services (aa.org)</t>
  </si>
  <si>
    <t xml:space="preserve">aa.org</t>
  </si>
  <si>
    <t xml:space="preserve">TSML confirmed installed; wp-json/tsml/meetings → 403. Contact webmaster to open.</t>
  </si>
  <si>
    <t xml:space="preserve">AA — Southwestern Ontario</t>
  </si>
  <si>
    <t xml:space="preserve">aaswo.org</t>
  </si>
  <si>
    <t xml:space="preserve">WordPress REST present but no TSML namespace. Outreach needed.</t>
  </si>
  <si>
    <t xml:space="preserve">Atlantic Canada</t>
  </si>
  <si>
    <t xml:space="preserve">NB</t>
  </si>
  <si>
    <t xml:space="preserve">AA — New Brunswick</t>
  </si>
  <si>
    <t xml:space="preserve">aanb.org</t>
  </si>
  <si>
    <t xml:space="preserve">AA — Ottawa</t>
  </si>
  <si>
    <t xml:space="preserve">aaottawa.org (unreachable)</t>
  </si>
  <si>
    <t xml:space="preserve">aaottawa.org, ottawaaintergroup.org, aacentralottawa.org, ottawavalleyaa.org, ottawaaa.com, aaottawagatineau.org all DNS failure Mar 2026. No domain found.</t>
  </si>
  <si>
    <t xml:space="preserve">AA — Edmonton</t>
  </si>
  <si>
    <t xml:space="preserve">edmontonaa.org (unreachable)</t>
  </si>
  <si>
    <t xml:space="preserve">edmontonaa.org, edmontonintergroup.com, aaalberta.org, aacentralalberta.org, edmontonaa.ca all DNS failure Mar 2026. No domain found.</t>
  </si>
  <si>
    <t xml:space="preserve">Quebec</t>
  </si>
  <si>
    <t xml:space="preserve">QC</t>
  </si>
  <si>
    <t xml:space="preserve">AA — Montréal</t>
  </si>
  <si>
    <t xml:space="preserve">aaqc.ca</t>
  </si>
  <si>
    <t xml:space="preserve">aaqc.ca → JS redirect to /lander (no API). aa-montreal.qc.ca, aamontreal.org, intergroupe.qc.ca, intergroupe-aa.ca all ECONNREFUSED Mar 2026. Largest missing Canadian city. French-language expected (language=fr). Recommend direct outreach.</t>
  </si>
  <si>
    <t xml:space="preserve">AA — Québec City</t>
  </si>
  <si>
    <t xml:space="preserve">aaquebc.org (unreachable)</t>
  </si>
  <si>
    <t xml:space="preserve">aaquebc.org, intergroupe-quebec.org, aa-quebec.qc.ca all ECONNREFUSED Mar 2026. French-language meetings expected (language=fr) once a feed is found.</t>
  </si>
  <si>
    <t xml:space="preserve">NS</t>
  </si>
  <si>
    <t xml:space="preserve">AA — Halifax (Nova Scotia)</t>
  </si>
  <si>
    <t xml:space="preserve">aahalifax.org</t>
  </si>
  <si>
    <t xml:space="preserve">~89</t>
  </si>
  <si>
    <t xml:space="preserve">tsml-aa-halifax</t>
  </si>
  <si>
    <t xml:space="preserve">Active (Mar 2026). Found via aahalifax.org — aanovascotia.org was unreachable.</t>
  </si>
  <si>
    <t xml:space="preserve">NL</t>
  </si>
  <si>
    <t xml:space="preserve">AA — Newfoundland</t>
  </si>
  <si>
    <t xml:space="preserve">aanlnl.ca</t>
  </si>
  <si>
    <t xml:space="preserve">aanlnl.ca, aanl.ca, stjohnsaa.org all ECONNREFUSED Mar 2026. No domain found.</t>
  </si>
  <si>
    <t xml:space="preserve">SK</t>
  </si>
  <si>
    <t xml:space="preserve">AA — Regina (Saskatchewan)</t>
  </si>
  <si>
    <t xml:space="preserve">aaregina.org</t>
  </si>
  <si>
    <t xml:space="preserve">~85</t>
  </si>
  <si>
    <t xml:space="preserve">tsml-aa-regina</t>
  </si>
  <si>
    <t xml:space="preserve">Active (Mar 2026). Found via aaregina.org — aasaskatchewan.org was unreachable. No separate Saskatoon feed found.</t>
  </si>
  <si>
    <t xml:space="preserve">PE/NB</t>
  </si>
  <si>
    <t xml:space="preserve">AA — Prince Edward Island</t>
  </si>
  <si>
    <t xml:space="preserve">Not investigated Mar 2026. Needs domain research.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</si>
</sst>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9C6500"/>
      <name val="Arial"/>
      <family val="0"/>
      <charset val="1"/>
    </font>
    <font>
      <b val="true"/>
      <sz val="10"/>
      <color rgb="FF276221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sz val="10"/>
      <color rgb="FF276221"/>
      <name val="Arial"/>
      <family val="0"/>
      <charset val="1"/>
    </font>
    <font>
      <b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9C6500"/>
      <name val="Arial"/>
      <family val="0"/>
      <charset val="1"/>
    </font>
    <font>
      <sz val="10"/>
      <color rgb="FF9C0006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F2F2F2"/>
        <bgColor rgb="FFEDEDED"/>
      </patternFill>
    </fill>
    <fill>
      <patternFill patternType="solid">
        <fgColor rgb="FFFFEB9C"/>
        <bgColor rgb="FFFCE4D6"/>
      </patternFill>
    </fill>
    <fill>
      <patternFill patternType="solid">
        <fgColor rgb="FFD9EAD3"/>
        <bgColor rgb="FFC6EFCE"/>
      </patternFill>
    </fill>
    <fill>
      <patternFill patternType="solid">
        <fgColor rgb="FFC6EFCE"/>
        <bgColor rgb="FFD9EAD3"/>
      </patternFill>
    </fill>
    <fill>
      <patternFill patternType="solid">
        <fgColor rgb="FFFFFFFF"/>
        <bgColor rgb="FFF2F2F2"/>
      </patternFill>
    </fill>
    <fill>
      <patternFill patternType="solid">
        <fgColor rgb="FFFCE4D6"/>
        <bgColor rgb="FFEDEDED"/>
      </patternFill>
    </fill>
    <fill>
      <patternFill patternType="solid">
        <fgColor rgb="FFEDEDED"/>
        <bgColor rgb="FFF2F2F2"/>
      </patternFill>
    </fill>
    <fill>
      <patternFill patternType="solid">
        <fgColor rgb="FF1F4E79"/>
        <bgColor rgb="FF1F3864"/>
      </patternFill>
    </fill>
    <fill>
      <patternFill patternType="solid">
        <fgColor rgb="FFFFC7CE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276221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9C6500"/>
          <bgColor rgb="FF000000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 patternType="solid">
          <fgColor rgb="FF1F4E7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276221"/>
      <rgbColor rgb="FF000080"/>
      <rgbColor rgb="FF9C6500"/>
      <rgbColor rgb="FF800080"/>
      <rgbColor rgb="FF008080"/>
      <rgbColor rgb="FFBFBFBF"/>
      <rgbColor rgb="FF808080"/>
      <rgbColor rgb="FF9999FF"/>
      <rgbColor rgb="FF993366"/>
      <rgbColor rgb="FFF2F2F2"/>
      <rgbColor rgb="FFD9EAD3"/>
      <rgbColor rgb="FF660066"/>
      <rgbColor rgb="FFFF8080"/>
      <rgbColor rgb="FF0066CC"/>
      <rgbColor rgb="FFFCE4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0"/>
    <col collapsed="false" customWidth="true" hidden="false" outlineLevel="0" max="3" min="3" style="1" width="28"/>
    <col collapsed="false" customWidth="true" hidden="false" outlineLevel="0" max="4" min="4" style="1" width="30"/>
    <col collapsed="false" customWidth="true" hidden="false" outlineLevel="0" max="5" min="5" style="1" width="14"/>
    <col collapsed="false" customWidth="true" hidden="false" outlineLevel="0" max="6" min="6" style="1" width="13"/>
    <col collapsed="false" customWidth="true" hidden="false" outlineLevel="0" max="7" min="7" style="1" width="30"/>
    <col collapsed="false" customWidth="true" hidden="false" outlineLevel="0" max="9" min="8" style="1" width="9"/>
    <col collapsed="false" customWidth="true" hidden="false" outlineLevel="0" max="10" min="10" style="1" width="42"/>
  </cols>
  <sheetData>
    <row r="1" customFormat="false" ht="30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8" hidden="false" customHeight="true" outlineLevel="0" collapsed="false">
      <c r="A2" s="3" t="s">
        <v>10</v>
      </c>
      <c r="B2" s="3" t="s">
        <v>11</v>
      </c>
      <c r="C2" s="3" t="s">
        <v>12</v>
      </c>
      <c r="D2" s="3" t="s">
        <v>13</v>
      </c>
      <c r="E2" s="4" t="s">
        <v>14</v>
      </c>
      <c r="F2" s="3" t="s">
        <v>15</v>
      </c>
      <c r="G2" s="3" t="s">
        <v>16</v>
      </c>
      <c r="H2" s="5" t="s">
        <v>17</v>
      </c>
      <c r="I2" s="6" t="n">
        <v>1</v>
      </c>
      <c r="J2" s="7" t="s">
        <v>18</v>
      </c>
    </row>
    <row r="3" customFormat="false" ht="18" hidden="false" customHeight="true" outlineLevel="0" collapsed="false">
      <c r="A3" s="8" t="s">
        <v>10</v>
      </c>
      <c r="B3" s="8" t="s">
        <v>11</v>
      </c>
      <c r="C3" s="8" t="s">
        <v>19</v>
      </c>
      <c r="D3" s="8" t="s">
        <v>20</v>
      </c>
      <c r="E3" s="6" t="s">
        <v>21</v>
      </c>
      <c r="F3" s="8" t="s">
        <v>22</v>
      </c>
      <c r="G3" s="8" t="s">
        <v>23</v>
      </c>
      <c r="H3" s="6" t="s">
        <v>24</v>
      </c>
      <c r="I3" s="6" t="n">
        <v>1</v>
      </c>
      <c r="J3" s="9" t="s">
        <v>25</v>
      </c>
    </row>
    <row r="4" customFormat="false" ht="18" hidden="false" customHeight="true" outlineLevel="0" collapsed="false">
      <c r="A4" s="3" t="s">
        <v>10</v>
      </c>
      <c r="B4" s="3" t="s">
        <v>26</v>
      </c>
      <c r="C4" s="3" t="s">
        <v>27</v>
      </c>
      <c r="D4" s="3" t="s">
        <v>28</v>
      </c>
      <c r="E4" s="6" t="s">
        <v>21</v>
      </c>
      <c r="F4" s="3" t="s">
        <v>29</v>
      </c>
      <c r="G4" s="3" t="s">
        <v>30</v>
      </c>
      <c r="H4" s="6" t="s">
        <v>24</v>
      </c>
      <c r="I4" s="6" t="n">
        <v>1</v>
      </c>
      <c r="J4" s="7" t="s">
        <v>25</v>
      </c>
    </row>
    <row r="5" customFormat="false" ht="18" hidden="false" customHeight="true" outlineLevel="0" collapsed="false">
      <c r="A5" s="8" t="s">
        <v>10</v>
      </c>
      <c r="B5" s="8" t="s">
        <v>31</v>
      </c>
      <c r="C5" s="8" t="s">
        <v>32</v>
      </c>
      <c r="D5" s="8" t="s">
        <v>33</v>
      </c>
      <c r="E5" s="6" t="s">
        <v>21</v>
      </c>
      <c r="F5" s="8" t="s">
        <v>34</v>
      </c>
      <c r="G5" s="8" t="s">
        <v>35</v>
      </c>
      <c r="H5" s="6" t="s">
        <v>24</v>
      </c>
      <c r="I5" s="6" t="n">
        <v>1</v>
      </c>
      <c r="J5" s="9" t="s">
        <v>25</v>
      </c>
    </row>
    <row r="6" customFormat="false" ht="18" hidden="false" customHeight="true" outlineLevel="0" collapsed="false">
      <c r="A6" s="3" t="s">
        <v>10</v>
      </c>
      <c r="B6" s="3" t="s">
        <v>36</v>
      </c>
      <c r="C6" s="3" t="s">
        <v>37</v>
      </c>
      <c r="D6" s="3" t="s">
        <v>38</v>
      </c>
      <c r="E6" s="6" t="s">
        <v>21</v>
      </c>
      <c r="F6" s="3" t="s">
        <v>39</v>
      </c>
      <c r="G6" s="3" t="s">
        <v>40</v>
      </c>
      <c r="H6" s="6" t="s">
        <v>24</v>
      </c>
      <c r="I6" s="6" t="n">
        <v>1</v>
      </c>
      <c r="J6" s="7" t="s">
        <v>25</v>
      </c>
    </row>
    <row r="7" customFormat="false" ht="18" hidden="false" customHeight="true" outlineLevel="0" collapsed="false">
      <c r="A7" s="8" t="s">
        <v>10</v>
      </c>
      <c r="B7" s="8" t="s">
        <v>41</v>
      </c>
      <c r="C7" s="8" t="s">
        <v>42</v>
      </c>
      <c r="D7" s="8" t="s">
        <v>43</v>
      </c>
      <c r="E7" s="4" t="s">
        <v>14</v>
      </c>
      <c r="F7" s="8" t="s">
        <v>44</v>
      </c>
      <c r="G7" s="8" t="s">
        <v>45</v>
      </c>
      <c r="H7" s="10" t="s">
        <v>46</v>
      </c>
      <c r="I7" s="4" t="n">
        <v>2</v>
      </c>
      <c r="J7" s="9" t="s">
        <v>47</v>
      </c>
    </row>
    <row r="8" customFormat="false" ht="18" hidden="false" customHeight="true" outlineLevel="0" collapsed="false">
      <c r="A8" s="3" t="s">
        <v>10</v>
      </c>
      <c r="B8" s="3" t="s">
        <v>48</v>
      </c>
      <c r="C8" s="3" t="s">
        <v>49</v>
      </c>
      <c r="D8" s="3" t="s">
        <v>50</v>
      </c>
      <c r="E8" s="11" t="s">
        <v>51</v>
      </c>
      <c r="F8" s="3" t="s">
        <v>44</v>
      </c>
      <c r="G8" s="3" t="s">
        <v>52</v>
      </c>
      <c r="H8" s="10" t="s">
        <v>46</v>
      </c>
      <c r="I8" s="11" t="n">
        <v>3</v>
      </c>
      <c r="J8" s="7" t="s">
        <v>53</v>
      </c>
    </row>
    <row r="9" customFormat="false" ht="18" hidden="false" customHeight="true" outlineLevel="0" collapsed="false">
      <c r="A9" s="8" t="s">
        <v>54</v>
      </c>
      <c r="B9" s="8" t="s">
        <v>55</v>
      </c>
      <c r="C9" s="8" t="s">
        <v>56</v>
      </c>
      <c r="D9" s="8" t="s">
        <v>57</v>
      </c>
      <c r="E9" s="6" t="s">
        <v>21</v>
      </c>
      <c r="F9" s="8" t="s">
        <v>58</v>
      </c>
      <c r="G9" s="8" t="s">
        <v>59</v>
      </c>
      <c r="H9" s="10" t="s">
        <v>24</v>
      </c>
      <c r="I9" s="6" t="n">
        <v>1</v>
      </c>
      <c r="J9" s="9" t="s">
        <v>60</v>
      </c>
    </row>
    <row r="10" customFormat="false" ht="18" hidden="false" customHeight="true" outlineLevel="0" collapsed="false">
      <c r="A10" s="3" t="s">
        <v>54</v>
      </c>
      <c r="B10" s="3" t="s">
        <v>61</v>
      </c>
      <c r="C10" s="3" t="s">
        <v>62</v>
      </c>
      <c r="D10" s="3" t="s">
        <v>63</v>
      </c>
      <c r="E10" s="6" t="s">
        <v>21</v>
      </c>
      <c r="F10" s="3" t="s">
        <v>64</v>
      </c>
      <c r="G10" s="3" t="s">
        <v>65</v>
      </c>
      <c r="H10" s="10" t="s">
        <v>24</v>
      </c>
      <c r="I10" s="6" t="n">
        <v>1</v>
      </c>
      <c r="J10" s="7" t="s">
        <v>60</v>
      </c>
    </row>
    <row r="11" customFormat="false" ht="18" hidden="false" customHeight="true" outlineLevel="0" collapsed="false">
      <c r="A11" s="8" t="s">
        <v>54</v>
      </c>
      <c r="B11" s="8" t="s">
        <v>66</v>
      </c>
      <c r="C11" s="8" t="s">
        <v>67</v>
      </c>
      <c r="D11" s="8" t="s">
        <v>68</v>
      </c>
      <c r="E11" s="6" t="s">
        <v>21</v>
      </c>
      <c r="F11" s="8" t="s">
        <v>69</v>
      </c>
      <c r="G11" s="8" t="s">
        <v>70</v>
      </c>
      <c r="H11" s="6" t="s">
        <v>24</v>
      </c>
      <c r="I11" s="6" t="n">
        <v>1</v>
      </c>
      <c r="J11" s="9" t="s">
        <v>71</v>
      </c>
    </row>
    <row r="12" customFormat="false" ht="18" hidden="false" customHeight="true" outlineLevel="0" collapsed="false">
      <c r="A12" s="3" t="s">
        <v>54</v>
      </c>
      <c r="B12" s="3" t="s">
        <v>72</v>
      </c>
      <c r="C12" s="3" t="s">
        <v>73</v>
      </c>
      <c r="D12" s="3" t="s">
        <v>74</v>
      </c>
      <c r="E12" s="11" t="s">
        <v>51</v>
      </c>
      <c r="F12" s="3" t="s">
        <v>44</v>
      </c>
      <c r="G12" s="3" t="s">
        <v>52</v>
      </c>
      <c r="H12" s="10" t="s">
        <v>46</v>
      </c>
      <c r="I12" s="11" t="n">
        <v>3</v>
      </c>
      <c r="J12" s="7" t="s">
        <v>75</v>
      </c>
    </row>
    <row r="13" customFormat="false" ht="18" hidden="false" customHeight="true" outlineLevel="0" collapsed="false">
      <c r="A13" s="8" t="s">
        <v>54</v>
      </c>
      <c r="B13" s="8" t="s">
        <v>76</v>
      </c>
      <c r="C13" s="8" t="s">
        <v>77</v>
      </c>
      <c r="D13" s="8" t="s">
        <v>78</v>
      </c>
      <c r="E13" s="11" t="s">
        <v>51</v>
      </c>
      <c r="F13" s="8" t="s">
        <v>44</v>
      </c>
      <c r="G13" s="8" t="s">
        <v>52</v>
      </c>
      <c r="H13" s="10" t="s">
        <v>46</v>
      </c>
      <c r="I13" s="11" t="n">
        <v>3</v>
      </c>
      <c r="J13" s="9" t="s">
        <v>79</v>
      </c>
    </row>
    <row r="14" customFormat="false" ht="18" hidden="false" customHeight="true" outlineLevel="0" collapsed="false">
      <c r="A14" s="3" t="s">
        <v>54</v>
      </c>
      <c r="B14" s="3" t="s">
        <v>72</v>
      </c>
      <c r="C14" s="3" t="s">
        <v>80</v>
      </c>
      <c r="D14" s="3" t="s">
        <v>81</v>
      </c>
      <c r="E14" s="11" t="s">
        <v>51</v>
      </c>
      <c r="F14" s="3" t="s">
        <v>44</v>
      </c>
      <c r="G14" s="3" t="s">
        <v>52</v>
      </c>
      <c r="H14" s="10" t="s">
        <v>46</v>
      </c>
      <c r="I14" s="11" t="n">
        <v>3</v>
      </c>
      <c r="J14" s="7" t="s">
        <v>82</v>
      </c>
    </row>
    <row r="15" customFormat="false" ht="18" hidden="false" customHeight="true" outlineLevel="0" collapsed="false">
      <c r="A15" s="8" t="s">
        <v>83</v>
      </c>
      <c r="B15" s="8" t="s">
        <v>84</v>
      </c>
      <c r="C15" s="8" t="s">
        <v>85</v>
      </c>
      <c r="D15" s="8" t="s">
        <v>86</v>
      </c>
      <c r="E15" s="6" t="s">
        <v>21</v>
      </c>
      <c r="F15" s="8" t="s">
        <v>58</v>
      </c>
      <c r="G15" s="8" t="s">
        <v>87</v>
      </c>
      <c r="H15" s="10" t="s">
        <v>24</v>
      </c>
      <c r="I15" s="6" t="n">
        <v>1</v>
      </c>
      <c r="J15" s="9" t="s">
        <v>60</v>
      </c>
    </row>
    <row r="16" customFormat="false" ht="18" hidden="false" customHeight="true" outlineLevel="0" collapsed="false">
      <c r="A16" s="3" t="s">
        <v>83</v>
      </c>
      <c r="B16" s="3" t="s">
        <v>88</v>
      </c>
      <c r="C16" s="3" t="s">
        <v>89</v>
      </c>
      <c r="D16" s="3" t="s">
        <v>90</v>
      </c>
      <c r="E16" s="6" t="s">
        <v>21</v>
      </c>
      <c r="F16" s="3" t="s">
        <v>91</v>
      </c>
      <c r="G16" s="3" t="s">
        <v>92</v>
      </c>
      <c r="H16" s="10" t="s">
        <v>24</v>
      </c>
      <c r="I16" s="6" t="n">
        <v>1</v>
      </c>
      <c r="J16" s="7" t="s">
        <v>60</v>
      </c>
    </row>
    <row r="17" customFormat="false" ht="18" hidden="false" customHeight="true" outlineLevel="0" collapsed="false">
      <c r="A17" s="8" t="s">
        <v>83</v>
      </c>
      <c r="B17" s="8" t="s">
        <v>93</v>
      </c>
      <c r="C17" s="8" t="s">
        <v>94</v>
      </c>
      <c r="D17" s="8" t="s">
        <v>95</v>
      </c>
      <c r="E17" s="4" t="s">
        <v>14</v>
      </c>
      <c r="F17" s="8" t="s">
        <v>44</v>
      </c>
      <c r="G17" s="8" t="s">
        <v>96</v>
      </c>
      <c r="H17" s="10" t="s">
        <v>46</v>
      </c>
      <c r="I17" s="4" t="n">
        <v>2</v>
      </c>
      <c r="J17" s="9" t="s">
        <v>97</v>
      </c>
    </row>
    <row r="18" customFormat="false" ht="18" hidden="false" customHeight="true" outlineLevel="0" collapsed="false">
      <c r="A18" s="3" t="s">
        <v>83</v>
      </c>
      <c r="B18" s="3" t="s">
        <v>98</v>
      </c>
      <c r="C18" s="3" t="s">
        <v>99</v>
      </c>
      <c r="D18" s="3" t="s">
        <v>100</v>
      </c>
      <c r="E18" s="11" t="s">
        <v>51</v>
      </c>
      <c r="F18" s="3" t="s">
        <v>44</v>
      </c>
      <c r="G18" s="3" t="s">
        <v>52</v>
      </c>
      <c r="H18" s="10" t="s">
        <v>46</v>
      </c>
      <c r="I18" s="11" t="n">
        <v>3</v>
      </c>
      <c r="J18" s="7" t="s">
        <v>101</v>
      </c>
    </row>
    <row r="19" customFormat="false" ht="18" hidden="false" customHeight="true" outlineLevel="0" collapsed="false">
      <c r="A19" s="8" t="s">
        <v>83</v>
      </c>
      <c r="B19" s="8" t="s">
        <v>98</v>
      </c>
      <c r="C19" s="8" t="s">
        <v>102</v>
      </c>
      <c r="D19" s="8" t="s">
        <v>103</v>
      </c>
      <c r="E19" s="11" t="s">
        <v>51</v>
      </c>
      <c r="F19" s="8" t="s">
        <v>44</v>
      </c>
      <c r="G19" s="8" t="s">
        <v>52</v>
      </c>
      <c r="H19" s="10" t="s">
        <v>46</v>
      </c>
      <c r="I19" s="11" t="n">
        <v>3</v>
      </c>
      <c r="J19" s="9" t="s">
        <v>104</v>
      </c>
    </row>
    <row r="20" customFormat="false" ht="18" hidden="false" customHeight="true" outlineLevel="0" collapsed="false">
      <c r="A20" s="3" t="s">
        <v>83</v>
      </c>
      <c r="B20" s="3" t="s">
        <v>98</v>
      </c>
      <c r="C20" s="3" t="s">
        <v>105</v>
      </c>
      <c r="D20" s="3" t="s">
        <v>106</v>
      </c>
      <c r="E20" s="11" t="s">
        <v>51</v>
      </c>
      <c r="F20" s="3" t="s">
        <v>44</v>
      </c>
      <c r="G20" s="3" t="s">
        <v>52</v>
      </c>
      <c r="H20" s="10" t="s">
        <v>46</v>
      </c>
      <c r="I20" s="11" t="n">
        <v>3</v>
      </c>
      <c r="J20" s="7" t="s">
        <v>107</v>
      </c>
    </row>
    <row r="21" customFormat="false" ht="18" hidden="false" customHeight="true" outlineLevel="0" collapsed="false">
      <c r="A21" s="8" t="s">
        <v>83</v>
      </c>
      <c r="B21" s="8" t="s">
        <v>108</v>
      </c>
      <c r="C21" s="8" t="s">
        <v>109</v>
      </c>
      <c r="D21" s="8" t="s">
        <v>110</v>
      </c>
      <c r="E21" s="11" t="s">
        <v>51</v>
      </c>
      <c r="F21" s="8" t="s">
        <v>44</v>
      </c>
      <c r="G21" s="8" t="s">
        <v>52</v>
      </c>
      <c r="H21" s="10" t="s">
        <v>46</v>
      </c>
      <c r="I21" s="11" t="n">
        <v>3</v>
      </c>
      <c r="J21" s="9" t="s">
        <v>111</v>
      </c>
    </row>
    <row r="22" customFormat="false" ht="18" hidden="false" customHeight="true" outlineLevel="0" collapsed="false">
      <c r="A22" s="3" t="s">
        <v>112</v>
      </c>
      <c r="B22" s="3" t="s">
        <v>113</v>
      </c>
      <c r="C22" s="3" t="s">
        <v>114</v>
      </c>
      <c r="D22" s="3" t="s">
        <v>115</v>
      </c>
      <c r="E22" s="4" t="s">
        <v>14</v>
      </c>
      <c r="F22" s="3" t="s">
        <v>44</v>
      </c>
      <c r="G22" s="3" t="s">
        <v>116</v>
      </c>
      <c r="H22" s="10" t="s">
        <v>46</v>
      </c>
      <c r="I22" s="4" t="n">
        <v>2</v>
      </c>
      <c r="J22" s="7" t="s">
        <v>117</v>
      </c>
    </row>
    <row r="23" customFormat="false" ht="18" hidden="false" customHeight="true" outlineLevel="0" collapsed="false">
      <c r="A23" s="8" t="s">
        <v>112</v>
      </c>
      <c r="B23" s="8" t="s">
        <v>118</v>
      </c>
      <c r="C23" s="8" t="s">
        <v>119</v>
      </c>
      <c r="D23" s="8" t="s">
        <v>120</v>
      </c>
      <c r="E23" s="11" t="s">
        <v>51</v>
      </c>
      <c r="F23" s="8" t="s">
        <v>44</v>
      </c>
      <c r="G23" s="8" t="s">
        <v>52</v>
      </c>
      <c r="H23" s="10" t="s">
        <v>46</v>
      </c>
      <c r="I23" s="11" t="n">
        <v>3</v>
      </c>
      <c r="J23" s="9" t="s">
        <v>121</v>
      </c>
    </row>
    <row r="24" customFormat="false" ht="18" hidden="false" customHeight="true" outlineLevel="0" collapsed="false">
      <c r="A24" s="3" t="s">
        <v>112</v>
      </c>
      <c r="B24" s="3" t="s">
        <v>122</v>
      </c>
      <c r="C24" s="3" t="s">
        <v>123</v>
      </c>
      <c r="D24" s="3" t="s">
        <v>124</v>
      </c>
      <c r="E24" s="11" t="s">
        <v>51</v>
      </c>
      <c r="F24" s="3" t="s">
        <v>44</v>
      </c>
      <c r="G24" s="3" t="s">
        <v>52</v>
      </c>
      <c r="H24" s="10" t="s">
        <v>46</v>
      </c>
      <c r="I24" s="11" t="n">
        <v>3</v>
      </c>
      <c r="J24" s="7" t="s">
        <v>125</v>
      </c>
    </row>
    <row r="25" customFormat="false" ht="18" hidden="false" customHeight="true" outlineLevel="0" collapsed="false">
      <c r="A25" s="8" t="s">
        <v>112</v>
      </c>
      <c r="B25" s="8" t="s">
        <v>122</v>
      </c>
      <c r="C25" s="8" t="s">
        <v>126</v>
      </c>
      <c r="D25" s="8" t="s">
        <v>127</v>
      </c>
      <c r="E25" s="11" t="s">
        <v>51</v>
      </c>
      <c r="F25" s="8" t="s">
        <v>44</v>
      </c>
      <c r="G25" s="8" t="s">
        <v>52</v>
      </c>
      <c r="H25" s="10" t="s">
        <v>46</v>
      </c>
      <c r="I25" s="11" t="n">
        <v>3</v>
      </c>
      <c r="J25" s="9" t="s">
        <v>128</v>
      </c>
    </row>
    <row r="26" customFormat="false" ht="18" hidden="false" customHeight="true" outlineLevel="0" collapsed="false">
      <c r="A26" s="3" t="s">
        <v>112</v>
      </c>
      <c r="B26" s="3" t="s">
        <v>129</v>
      </c>
      <c r="C26" s="3" t="s">
        <v>130</v>
      </c>
      <c r="D26" s="3" t="s">
        <v>131</v>
      </c>
      <c r="E26" s="11" t="s">
        <v>51</v>
      </c>
      <c r="F26" s="3" t="s">
        <v>44</v>
      </c>
      <c r="G26" s="3" t="s">
        <v>52</v>
      </c>
      <c r="H26" s="10" t="s">
        <v>46</v>
      </c>
      <c r="I26" s="11" t="n">
        <v>3</v>
      </c>
      <c r="J26" s="7" t="s">
        <v>132</v>
      </c>
    </row>
    <row r="27" customFormat="false" ht="18" hidden="false" customHeight="true" outlineLevel="0" collapsed="false">
      <c r="A27" s="8" t="s">
        <v>112</v>
      </c>
      <c r="B27" s="8" t="s">
        <v>133</v>
      </c>
      <c r="C27" s="8" t="s">
        <v>134</v>
      </c>
      <c r="D27" s="8" t="s">
        <v>135</v>
      </c>
      <c r="E27" s="11" t="s">
        <v>51</v>
      </c>
      <c r="F27" s="8" t="s">
        <v>44</v>
      </c>
      <c r="G27" s="8" t="s">
        <v>52</v>
      </c>
      <c r="H27" s="10" t="s">
        <v>46</v>
      </c>
      <c r="I27" s="11" t="n">
        <v>3</v>
      </c>
      <c r="J27" s="9" t="s">
        <v>136</v>
      </c>
    </row>
    <row r="28" customFormat="false" ht="18" hidden="false" customHeight="true" outlineLevel="0" collapsed="false">
      <c r="A28" s="3" t="s">
        <v>112</v>
      </c>
      <c r="B28" s="3" t="s">
        <v>137</v>
      </c>
      <c r="C28" s="3" t="s">
        <v>138</v>
      </c>
      <c r="D28" s="3" t="s">
        <v>139</v>
      </c>
      <c r="E28" s="12" t="s">
        <v>21</v>
      </c>
      <c r="F28" s="3" t="s">
        <v>44</v>
      </c>
      <c r="G28" s="3" t="s">
        <v>52</v>
      </c>
      <c r="H28" s="10" t="s">
        <v>24</v>
      </c>
      <c r="I28" s="11" t="n">
        <v>1</v>
      </c>
      <c r="J28" s="7" t="s">
        <v>140</v>
      </c>
    </row>
    <row r="29" customFormat="false" ht="18" hidden="false" customHeight="true" outlineLevel="0" collapsed="false">
      <c r="A29" s="8" t="s">
        <v>112</v>
      </c>
      <c r="B29" s="8" t="s">
        <v>141</v>
      </c>
      <c r="C29" s="8" t="s">
        <v>142</v>
      </c>
      <c r="D29" s="8" t="s">
        <v>143</v>
      </c>
      <c r="E29" s="11" t="s">
        <v>51</v>
      </c>
      <c r="F29" s="8" t="s">
        <v>44</v>
      </c>
      <c r="G29" s="8" t="s">
        <v>144</v>
      </c>
      <c r="H29" s="13" t="s">
        <v>46</v>
      </c>
      <c r="I29" s="14" t="n">
        <v>4</v>
      </c>
      <c r="J29" s="9" t="s">
        <v>145</v>
      </c>
    </row>
    <row r="30" customFormat="false" ht="18" hidden="false" customHeight="true" outlineLevel="0" collapsed="false">
      <c r="A30" s="3" t="s">
        <v>112</v>
      </c>
      <c r="B30" s="3" t="s">
        <v>141</v>
      </c>
      <c r="C30" s="3" t="s">
        <v>146</v>
      </c>
      <c r="D30" s="3" t="s">
        <v>147</v>
      </c>
      <c r="E30" s="12" t="s">
        <v>21</v>
      </c>
      <c r="F30" s="3" t="s">
        <v>44</v>
      </c>
      <c r="G30" s="3" t="s">
        <v>52</v>
      </c>
      <c r="H30" s="10" t="s">
        <v>24</v>
      </c>
      <c r="I30" s="11" t="n">
        <v>1</v>
      </c>
      <c r="J30" s="7" t="s">
        <v>148</v>
      </c>
    </row>
    <row r="31" customFormat="false" ht="18" hidden="false" customHeight="true" outlineLevel="0" collapsed="false">
      <c r="A31" s="8" t="s">
        <v>149</v>
      </c>
      <c r="B31" s="8" t="s">
        <v>150</v>
      </c>
      <c r="C31" s="8" t="s">
        <v>151</v>
      </c>
      <c r="D31" s="8" t="s">
        <v>152</v>
      </c>
      <c r="E31" s="6" t="s">
        <v>21</v>
      </c>
      <c r="F31" s="8" t="s">
        <v>153</v>
      </c>
      <c r="G31" s="8" t="s">
        <v>154</v>
      </c>
      <c r="H31" s="10" t="s">
        <v>24</v>
      </c>
      <c r="I31" s="6" t="n">
        <v>1</v>
      </c>
      <c r="J31" s="9" t="s">
        <v>60</v>
      </c>
    </row>
    <row r="32" customFormat="false" ht="18" hidden="false" customHeight="true" outlineLevel="0" collapsed="false">
      <c r="A32" s="3" t="s">
        <v>149</v>
      </c>
      <c r="B32" s="3" t="s">
        <v>150</v>
      </c>
      <c r="C32" s="3" t="s">
        <v>155</v>
      </c>
      <c r="D32" s="3" t="s">
        <v>156</v>
      </c>
      <c r="E32" s="6" t="s">
        <v>21</v>
      </c>
      <c r="F32" s="3" t="s">
        <v>153</v>
      </c>
      <c r="G32" s="3" t="s">
        <v>157</v>
      </c>
      <c r="H32" s="10" t="s">
        <v>24</v>
      </c>
      <c r="I32" s="6" t="n">
        <v>1</v>
      </c>
      <c r="J32" s="7" t="s">
        <v>60</v>
      </c>
    </row>
    <row r="33" customFormat="false" ht="18" hidden="false" customHeight="true" outlineLevel="0" collapsed="false">
      <c r="A33" s="8" t="s">
        <v>149</v>
      </c>
      <c r="B33" s="8" t="s">
        <v>150</v>
      </c>
      <c r="C33" s="8" t="s">
        <v>158</v>
      </c>
      <c r="D33" s="8" t="s">
        <v>159</v>
      </c>
      <c r="E33" s="11" t="s">
        <v>51</v>
      </c>
      <c r="F33" s="8" t="s">
        <v>44</v>
      </c>
      <c r="G33" s="8" t="s">
        <v>160</v>
      </c>
      <c r="H33" s="13" t="s">
        <v>46</v>
      </c>
      <c r="I33" s="14" t="n">
        <v>4</v>
      </c>
      <c r="J33" s="9" t="s">
        <v>161</v>
      </c>
    </row>
    <row r="34" customFormat="false" ht="18" hidden="false" customHeight="true" outlineLevel="0" collapsed="false">
      <c r="A34" s="3" t="s">
        <v>149</v>
      </c>
      <c r="B34" s="3" t="s">
        <v>150</v>
      </c>
      <c r="C34" s="3" t="s">
        <v>162</v>
      </c>
      <c r="D34" s="3" t="s">
        <v>163</v>
      </c>
      <c r="E34" s="12" t="s">
        <v>21</v>
      </c>
      <c r="F34" s="3" t="s">
        <v>44</v>
      </c>
      <c r="G34" s="3" t="s">
        <v>52</v>
      </c>
      <c r="H34" s="10" t="s">
        <v>24</v>
      </c>
      <c r="I34" s="11" t="n">
        <v>1</v>
      </c>
      <c r="J34" s="7" t="s">
        <v>164</v>
      </c>
    </row>
    <row r="35" customFormat="false" ht="18" hidden="false" customHeight="true" outlineLevel="0" collapsed="false">
      <c r="A35" s="8" t="s">
        <v>149</v>
      </c>
      <c r="B35" s="8" t="s">
        <v>165</v>
      </c>
      <c r="C35" s="8" t="s">
        <v>166</v>
      </c>
      <c r="D35" s="8" t="s">
        <v>167</v>
      </c>
      <c r="E35" s="4" t="s">
        <v>14</v>
      </c>
      <c r="F35" s="8" t="s">
        <v>44</v>
      </c>
      <c r="G35" s="8" t="s">
        <v>168</v>
      </c>
      <c r="H35" s="10" t="s">
        <v>46</v>
      </c>
      <c r="I35" s="4" t="n">
        <v>2</v>
      </c>
      <c r="J35" s="9" t="s">
        <v>97</v>
      </c>
    </row>
    <row r="36" customFormat="false" ht="18" hidden="false" customHeight="true" outlineLevel="0" collapsed="false">
      <c r="A36" s="3" t="s">
        <v>169</v>
      </c>
      <c r="B36" s="3" t="s">
        <v>170</v>
      </c>
      <c r="C36" s="3" t="s">
        <v>171</v>
      </c>
      <c r="D36" s="3" t="s">
        <v>172</v>
      </c>
      <c r="E36" s="6" t="s">
        <v>21</v>
      </c>
      <c r="F36" s="3" t="s">
        <v>153</v>
      </c>
      <c r="G36" s="3" t="s">
        <v>173</v>
      </c>
      <c r="H36" s="10" t="s">
        <v>24</v>
      </c>
      <c r="I36" s="6" t="n">
        <v>1</v>
      </c>
      <c r="J36" s="7" t="s">
        <v>60</v>
      </c>
    </row>
    <row r="37" customFormat="false" ht="18" hidden="false" customHeight="true" outlineLevel="0" collapsed="false">
      <c r="A37" s="8" t="s">
        <v>169</v>
      </c>
      <c r="B37" s="8" t="s">
        <v>170</v>
      </c>
      <c r="C37" s="8" t="s">
        <v>174</v>
      </c>
      <c r="D37" s="8" t="s">
        <v>175</v>
      </c>
      <c r="E37" s="6" t="s">
        <v>21</v>
      </c>
      <c r="F37" s="8" t="s">
        <v>176</v>
      </c>
      <c r="G37" s="8" t="s">
        <v>177</v>
      </c>
      <c r="H37" s="10" t="s">
        <v>24</v>
      </c>
      <c r="I37" s="6" t="n">
        <v>1</v>
      </c>
      <c r="J37" s="9" t="s">
        <v>60</v>
      </c>
    </row>
    <row r="38" customFormat="false" ht="18" hidden="false" customHeight="true" outlineLevel="0" collapsed="false">
      <c r="A38" s="3" t="s">
        <v>169</v>
      </c>
      <c r="B38" s="3" t="s">
        <v>178</v>
      </c>
      <c r="C38" s="3" t="s">
        <v>179</v>
      </c>
      <c r="D38" s="3" t="s">
        <v>180</v>
      </c>
      <c r="E38" s="4" t="s">
        <v>14</v>
      </c>
      <c r="F38" s="3" t="s">
        <v>44</v>
      </c>
      <c r="G38" s="3" t="s">
        <v>181</v>
      </c>
      <c r="H38" s="10" t="s">
        <v>46</v>
      </c>
      <c r="I38" s="4" t="n">
        <v>2</v>
      </c>
      <c r="J38" s="7" t="s">
        <v>182</v>
      </c>
    </row>
    <row r="39" customFormat="false" ht="18" hidden="false" customHeight="true" outlineLevel="0" collapsed="false">
      <c r="A39" s="8" t="s">
        <v>169</v>
      </c>
      <c r="B39" s="8" t="s">
        <v>183</v>
      </c>
      <c r="C39" s="8" t="s">
        <v>184</v>
      </c>
      <c r="D39" s="8" t="s">
        <v>185</v>
      </c>
      <c r="E39" s="11" t="s">
        <v>51</v>
      </c>
      <c r="F39" s="8" t="s">
        <v>44</v>
      </c>
      <c r="G39" s="8" t="s">
        <v>52</v>
      </c>
      <c r="H39" s="10" t="s">
        <v>46</v>
      </c>
      <c r="I39" s="11" t="n">
        <v>3</v>
      </c>
      <c r="J39" s="9" t="s">
        <v>186</v>
      </c>
    </row>
    <row r="40" customFormat="false" ht="18" hidden="false" customHeight="true" outlineLevel="0" collapsed="false">
      <c r="A40" s="3" t="s">
        <v>169</v>
      </c>
      <c r="B40" s="3" t="s">
        <v>187</v>
      </c>
      <c r="C40" s="3" t="s">
        <v>188</v>
      </c>
      <c r="D40" s="3" t="s">
        <v>189</v>
      </c>
      <c r="E40" s="11" t="s">
        <v>51</v>
      </c>
      <c r="F40" s="3" t="s">
        <v>44</v>
      </c>
      <c r="G40" s="3" t="s">
        <v>52</v>
      </c>
      <c r="H40" s="10" t="s">
        <v>46</v>
      </c>
      <c r="I40" s="11" t="n">
        <v>3</v>
      </c>
      <c r="J40" s="7" t="s">
        <v>111</v>
      </c>
    </row>
    <row r="41" customFormat="false" ht="18" hidden="false" customHeight="true" outlineLevel="0" collapsed="false">
      <c r="A41" s="8" t="s">
        <v>190</v>
      </c>
      <c r="B41" s="8" t="s">
        <v>191</v>
      </c>
      <c r="C41" s="8" t="s">
        <v>192</v>
      </c>
      <c r="D41" s="8" t="s">
        <v>193</v>
      </c>
      <c r="E41" s="6" t="s">
        <v>21</v>
      </c>
      <c r="F41" s="8" t="s">
        <v>64</v>
      </c>
      <c r="G41" s="8" t="s">
        <v>194</v>
      </c>
      <c r="H41" s="10" t="s">
        <v>24</v>
      </c>
      <c r="I41" s="6" t="n">
        <v>1</v>
      </c>
      <c r="J41" s="9" t="s">
        <v>60</v>
      </c>
    </row>
    <row r="42" customFormat="false" ht="18" hidden="false" customHeight="true" outlineLevel="0" collapsed="false">
      <c r="A42" s="3" t="s">
        <v>190</v>
      </c>
      <c r="B42" s="3" t="s">
        <v>195</v>
      </c>
      <c r="C42" s="3" t="s">
        <v>196</v>
      </c>
      <c r="D42" s="3" t="s">
        <v>197</v>
      </c>
      <c r="E42" s="6" t="s">
        <v>21</v>
      </c>
      <c r="F42" s="3" t="s">
        <v>153</v>
      </c>
      <c r="G42" s="3" t="s">
        <v>52</v>
      </c>
      <c r="H42" s="6" t="s">
        <v>24</v>
      </c>
      <c r="I42" s="6" t="n">
        <v>1</v>
      </c>
      <c r="J42" s="7" t="s">
        <v>198</v>
      </c>
    </row>
    <row r="43" customFormat="false" ht="18" hidden="false" customHeight="true" outlineLevel="0" collapsed="false">
      <c r="A43" s="8" t="s">
        <v>199</v>
      </c>
      <c r="B43" s="8" t="s">
        <v>200</v>
      </c>
      <c r="C43" s="8" t="s">
        <v>201</v>
      </c>
      <c r="D43" s="8" t="s">
        <v>202</v>
      </c>
      <c r="E43" s="6" t="s">
        <v>21</v>
      </c>
      <c r="F43" s="8" t="s">
        <v>203</v>
      </c>
      <c r="G43" s="8" t="s">
        <v>204</v>
      </c>
      <c r="H43" s="10" t="s">
        <v>24</v>
      </c>
      <c r="I43" s="6" t="n">
        <v>1</v>
      </c>
      <c r="J43" s="9" t="s">
        <v>60</v>
      </c>
    </row>
    <row r="44" customFormat="false" ht="18" hidden="false" customHeight="true" outlineLevel="0" collapsed="false">
      <c r="A44" s="3" t="s">
        <v>199</v>
      </c>
      <c r="B44" s="3" t="s">
        <v>200</v>
      </c>
      <c r="C44" s="3" t="s">
        <v>205</v>
      </c>
      <c r="D44" s="3" t="s">
        <v>206</v>
      </c>
      <c r="E44" s="6" t="s">
        <v>21</v>
      </c>
      <c r="F44" s="3" t="s">
        <v>64</v>
      </c>
      <c r="G44" s="3" t="s">
        <v>207</v>
      </c>
      <c r="H44" s="10" t="s">
        <v>24</v>
      </c>
      <c r="I44" s="6" t="n">
        <v>1</v>
      </c>
      <c r="J44" s="7" t="s">
        <v>60</v>
      </c>
    </row>
    <row r="45" customFormat="false" ht="18" hidden="false" customHeight="true" outlineLevel="0" collapsed="false">
      <c r="A45" s="8" t="s">
        <v>199</v>
      </c>
      <c r="B45" s="8" t="s">
        <v>200</v>
      </c>
      <c r="C45" s="8" t="s">
        <v>208</v>
      </c>
      <c r="D45" s="8" t="s">
        <v>209</v>
      </c>
      <c r="E45" s="11" t="s">
        <v>51</v>
      </c>
      <c r="F45" s="8" t="s">
        <v>44</v>
      </c>
      <c r="G45" s="8" t="s">
        <v>210</v>
      </c>
      <c r="H45" s="13" t="s">
        <v>46</v>
      </c>
      <c r="I45" s="14" t="n">
        <v>4</v>
      </c>
      <c r="J45" s="9" t="s">
        <v>211</v>
      </c>
    </row>
    <row r="46" customFormat="false" ht="18" hidden="false" customHeight="true" outlineLevel="0" collapsed="false">
      <c r="A46" s="3" t="s">
        <v>199</v>
      </c>
      <c r="B46" s="3" t="s">
        <v>200</v>
      </c>
      <c r="C46" s="3" t="s">
        <v>212</v>
      </c>
      <c r="D46" s="3" t="s">
        <v>213</v>
      </c>
      <c r="E46" s="11" t="s">
        <v>51</v>
      </c>
      <c r="F46" s="3" t="s">
        <v>44</v>
      </c>
      <c r="G46" s="3" t="s">
        <v>52</v>
      </c>
      <c r="H46" s="13" t="s">
        <v>46</v>
      </c>
      <c r="I46" s="14" t="n">
        <v>4</v>
      </c>
      <c r="J46" s="7" t="s">
        <v>214</v>
      </c>
    </row>
    <row r="47" customFormat="false" ht="18" hidden="false" customHeight="true" outlineLevel="0" collapsed="false">
      <c r="A47" s="8" t="s">
        <v>199</v>
      </c>
      <c r="B47" s="8" t="s">
        <v>200</v>
      </c>
      <c r="C47" s="8" t="s">
        <v>215</v>
      </c>
      <c r="D47" s="8" t="s">
        <v>216</v>
      </c>
      <c r="E47" s="4" t="s">
        <v>14</v>
      </c>
      <c r="F47" s="8" t="s">
        <v>44</v>
      </c>
      <c r="G47" s="8" t="s">
        <v>217</v>
      </c>
      <c r="H47" s="10" t="s">
        <v>46</v>
      </c>
      <c r="I47" s="4" t="n">
        <v>2</v>
      </c>
      <c r="J47" s="9" t="s">
        <v>97</v>
      </c>
    </row>
    <row r="48" customFormat="false" ht="18" hidden="false" customHeight="true" outlineLevel="0" collapsed="false">
      <c r="A48" s="3" t="s">
        <v>199</v>
      </c>
      <c r="B48" s="3" t="s">
        <v>200</v>
      </c>
      <c r="C48" s="3" t="s">
        <v>218</v>
      </c>
      <c r="D48" s="3" t="s">
        <v>219</v>
      </c>
      <c r="E48" s="11" t="s">
        <v>51</v>
      </c>
      <c r="F48" s="3" t="s">
        <v>44</v>
      </c>
      <c r="G48" s="3" t="s">
        <v>52</v>
      </c>
      <c r="H48" s="10" t="s">
        <v>46</v>
      </c>
      <c r="I48" s="11" t="n">
        <v>3</v>
      </c>
      <c r="J48" s="7" t="s">
        <v>220</v>
      </c>
    </row>
    <row r="50" customFormat="false" ht="15" hidden="false" customHeight="true" outlineLevel="0" collapsed="false">
      <c r="A50" s="15" t="s">
        <v>221</v>
      </c>
      <c r="B50" s="16" t="n">
        <f aca="false">COUNTIF(E2:E48,"✅ Public")</f>
        <v>20</v>
      </c>
    </row>
    <row r="51" customFormat="false" ht="15" hidden="false" customHeight="true" outlineLevel="0" collapsed="false">
      <c r="A51" s="15" t="s">
        <v>14</v>
      </c>
      <c r="B51" s="16" t="n">
        <f aca="false">COUNTIF(E2:E48,"🔒 Restricted")</f>
        <v>7</v>
      </c>
    </row>
    <row r="52" customFormat="false" ht="15" hidden="false" customHeight="true" outlineLevel="0" collapsed="false">
      <c r="A52" s="15" t="s">
        <v>51</v>
      </c>
      <c r="B52" s="16" t="n">
        <f aca="false">COUNTIF(E2:E48,"❌ No TSML")</f>
        <v>20</v>
      </c>
    </row>
    <row r="53" customFormat="false" ht="15" hidden="false" customHeight="true" outlineLevel="0" collapsed="false">
      <c r="A53" s="15" t="s">
        <v>222</v>
      </c>
      <c r="B53" s="16" t="n">
        <f aca="false">COUNTIF(E2:E48,"⚠️ Unknown")</f>
        <v>0</v>
      </c>
    </row>
    <row r="54" customFormat="false" ht="15" hidden="false" customHeight="true" outlineLevel="0" collapsed="false">
      <c r="A54" s="15" t="s">
        <v>223</v>
      </c>
      <c r="B54" s="16" t="n">
        <f aca="false">COUNTIF(H2:H48,"Yes")+COUNTIF(H2:H48,"Yes (page)")</f>
        <v>21</v>
      </c>
    </row>
    <row r="55" customFormat="false" ht="15" hidden="false" customHeight="true" outlineLevel="0" collapsed="false">
      <c r="A55" s="15" t="s">
        <v>224</v>
      </c>
      <c r="B55" s="16" t="n">
        <f aca="false">COUNTIFS(I2:I48,1,H2:H48,"No")</f>
        <v>0</v>
      </c>
    </row>
  </sheetData>
  <autoFilter ref="A1:J4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44"/>
    <col collapsed="false" customWidth="true" hidden="false" outlineLevel="0" max="3" min="3" style="1" width="52"/>
    <col collapsed="false" customWidth="true" hidden="false" outlineLevel="0" max="4" min="4" style="1" width="10"/>
    <col collapsed="false" customWidth="true" hidden="false" outlineLevel="0" max="5" min="5" style="1" width="22"/>
  </cols>
  <sheetData>
    <row r="1" customFormat="false" ht="30" hidden="false" customHeight="true" outlineLevel="0" collapsed="false">
      <c r="A1" s="2" t="s">
        <v>225</v>
      </c>
      <c r="B1" s="2" t="s">
        <v>226</v>
      </c>
      <c r="C1" s="2" t="s">
        <v>227</v>
      </c>
      <c r="D1" s="2" t="s">
        <v>228</v>
      </c>
      <c r="E1" s="2" t="s">
        <v>229</v>
      </c>
    </row>
    <row r="2" customFormat="false" ht="54.75" hidden="false" customHeight="true" outlineLevel="0" collapsed="false">
      <c r="A2" s="17" t="s">
        <v>230</v>
      </c>
      <c r="B2" s="17" t="s">
        <v>231</v>
      </c>
      <c r="C2" s="17" t="s">
        <v>232</v>
      </c>
      <c r="D2" s="17" t="s">
        <v>233</v>
      </c>
      <c r="E2" s="17" t="s">
        <v>234</v>
      </c>
    </row>
    <row r="3" customFormat="false" ht="54.75" hidden="false" customHeight="true" outlineLevel="0" collapsed="false">
      <c r="A3" s="18" t="s">
        <v>235</v>
      </c>
      <c r="B3" s="18" t="s">
        <v>236</v>
      </c>
      <c r="C3" s="18" t="s">
        <v>237</v>
      </c>
      <c r="D3" s="18" t="s">
        <v>238</v>
      </c>
      <c r="E3" s="18" t="s">
        <v>239</v>
      </c>
    </row>
    <row r="4" customFormat="false" ht="54.75" hidden="false" customHeight="true" outlineLevel="0" collapsed="false">
      <c r="A4" s="17" t="s">
        <v>240</v>
      </c>
      <c r="B4" s="17" t="s">
        <v>241</v>
      </c>
      <c r="C4" s="17" t="s">
        <v>242</v>
      </c>
      <c r="D4" s="17" t="s">
        <v>238</v>
      </c>
      <c r="E4" s="17" t="s">
        <v>243</v>
      </c>
    </row>
    <row r="5" customFormat="false" ht="54.75" hidden="false" customHeight="true" outlineLevel="0" collapsed="false">
      <c r="A5" s="18" t="s">
        <v>244</v>
      </c>
      <c r="B5" s="18" t="s">
        <v>245</v>
      </c>
      <c r="C5" s="18" t="s">
        <v>246</v>
      </c>
      <c r="D5" s="18" t="s">
        <v>247</v>
      </c>
      <c r="E5" s="18" t="s">
        <v>248</v>
      </c>
    </row>
    <row r="6" customFormat="false" ht="54.75" hidden="false" customHeight="true" outlineLevel="0" collapsed="false">
      <c r="A6" s="17" t="s">
        <v>249</v>
      </c>
      <c r="B6" s="17" t="s">
        <v>250</v>
      </c>
      <c r="C6" s="17" t="s">
        <v>251</v>
      </c>
      <c r="D6" s="17" t="s">
        <v>247</v>
      </c>
      <c r="E6" s="17" t="s">
        <v>252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0"/>
    <col collapsed="false" customWidth="true" hidden="false" outlineLevel="0" max="3" min="3" style="1" width="35"/>
    <col collapsed="false" customWidth="true" hidden="false" outlineLevel="0" max="4" min="4" style="1" width="28"/>
    <col collapsed="false" customWidth="true" hidden="false" outlineLevel="0" max="5" min="5" style="1" width="18"/>
    <col collapsed="false" customWidth="true" hidden="false" outlineLevel="0" max="6" min="6" style="1" width="14"/>
    <col collapsed="false" customWidth="true" hidden="false" outlineLevel="0" max="7" min="7" style="1" width="22"/>
    <col collapsed="false" customWidth="true" hidden="false" outlineLevel="0" max="9" min="8" style="1" width="8"/>
    <col collapsed="false" customWidth="true" hidden="false" outlineLevel="0" max="10" min="10" style="1" width="50"/>
  </cols>
  <sheetData>
    <row r="1" customFormat="false" ht="18" hidden="false" customHeight="true" outlineLevel="0" collapsed="false">
      <c r="A1" s="19" t="s">
        <v>0</v>
      </c>
      <c r="B1" s="19" t="s">
        <v>253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</row>
    <row r="2" customFormat="false" ht="23.25" hidden="false" customHeight="true" outlineLevel="0" collapsed="false">
      <c r="A2" s="1" t="s">
        <v>254</v>
      </c>
      <c r="B2" s="1" t="s">
        <v>255</v>
      </c>
      <c r="C2" s="1" t="s">
        <v>256</v>
      </c>
      <c r="D2" s="1" t="s">
        <v>257</v>
      </c>
      <c r="E2" s="20" t="s">
        <v>21</v>
      </c>
      <c r="F2" s="1" t="s">
        <v>258</v>
      </c>
      <c r="G2" s="1" t="s">
        <v>259</v>
      </c>
      <c r="H2" s="1" t="s">
        <v>24</v>
      </c>
      <c r="I2" s="1" t="n">
        <v>1</v>
      </c>
      <c r="J2" s="21" t="s">
        <v>260</v>
      </c>
    </row>
    <row r="3" customFormat="false" ht="23.25" hidden="false" customHeight="true" outlineLevel="0" collapsed="false">
      <c r="A3" s="1" t="s">
        <v>254</v>
      </c>
      <c r="B3" s="1" t="s">
        <v>261</v>
      </c>
      <c r="C3" s="1" t="s">
        <v>262</v>
      </c>
      <c r="D3" s="1" t="s">
        <v>263</v>
      </c>
      <c r="E3" s="20" t="s">
        <v>21</v>
      </c>
      <c r="F3" s="1" t="s">
        <v>264</v>
      </c>
      <c r="G3" s="1" t="s">
        <v>265</v>
      </c>
      <c r="H3" s="1" t="s">
        <v>24</v>
      </c>
      <c r="I3" s="1" t="n">
        <v>1</v>
      </c>
      <c r="J3" s="21" t="s">
        <v>266</v>
      </c>
    </row>
    <row r="4" customFormat="false" ht="23.25" hidden="false" customHeight="true" outlineLevel="0" collapsed="false">
      <c r="A4" s="1" t="s">
        <v>267</v>
      </c>
      <c r="B4" s="1" t="s">
        <v>268</v>
      </c>
      <c r="C4" s="1" t="s">
        <v>269</v>
      </c>
      <c r="D4" s="1" t="s">
        <v>270</v>
      </c>
      <c r="E4" s="20" t="s">
        <v>21</v>
      </c>
      <c r="F4" s="1" t="s">
        <v>271</v>
      </c>
      <c r="G4" s="1" t="s">
        <v>272</v>
      </c>
      <c r="H4" s="1" t="s">
        <v>24</v>
      </c>
      <c r="I4" s="1" t="n">
        <v>1</v>
      </c>
      <c r="J4" s="21" t="s">
        <v>273</v>
      </c>
    </row>
    <row r="5" customFormat="false" ht="23.25" hidden="false" customHeight="true" outlineLevel="0" collapsed="false">
      <c r="A5" s="1" t="s">
        <v>267</v>
      </c>
      <c r="B5" s="1" t="s">
        <v>274</v>
      </c>
      <c r="C5" s="1" t="s">
        <v>275</v>
      </c>
      <c r="D5" s="1" t="s">
        <v>276</v>
      </c>
      <c r="E5" s="20" t="s">
        <v>21</v>
      </c>
      <c r="F5" s="1" t="s">
        <v>277</v>
      </c>
      <c r="G5" s="1" t="s">
        <v>278</v>
      </c>
      <c r="H5" s="1" t="s">
        <v>24</v>
      </c>
      <c r="I5" s="1" t="n">
        <v>1</v>
      </c>
      <c r="J5" s="21" t="s">
        <v>279</v>
      </c>
    </row>
    <row r="6" customFormat="false" ht="23.25" hidden="false" customHeight="true" outlineLevel="0" collapsed="false">
      <c r="A6" s="1" t="s">
        <v>280</v>
      </c>
      <c r="B6" s="1" t="s">
        <v>281</v>
      </c>
      <c r="C6" s="1" t="s">
        <v>282</v>
      </c>
      <c r="D6" s="1" t="s">
        <v>283</v>
      </c>
      <c r="E6" s="22" t="s">
        <v>14</v>
      </c>
      <c r="F6" s="1" t="s">
        <v>44</v>
      </c>
      <c r="G6" s="1" t="s">
        <v>52</v>
      </c>
      <c r="H6" s="1" t="s">
        <v>46</v>
      </c>
      <c r="I6" s="1" t="n">
        <v>2</v>
      </c>
      <c r="J6" s="21" t="s">
        <v>284</v>
      </c>
    </row>
    <row r="7" customFormat="false" ht="23.25" hidden="false" customHeight="true" outlineLevel="0" collapsed="false">
      <c r="A7" s="1" t="s">
        <v>267</v>
      </c>
      <c r="B7" s="1" t="s">
        <v>274</v>
      </c>
      <c r="C7" s="1" t="s">
        <v>285</v>
      </c>
      <c r="D7" s="1" t="s">
        <v>286</v>
      </c>
      <c r="E7" s="23" t="s">
        <v>51</v>
      </c>
      <c r="F7" s="1" t="s">
        <v>44</v>
      </c>
      <c r="G7" s="1" t="s">
        <v>52</v>
      </c>
      <c r="H7" s="1" t="s">
        <v>46</v>
      </c>
      <c r="I7" s="1" t="n">
        <v>3</v>
      </c>
      <c r="J7" s="21" t="s">
        <v>287</v>
      </c>
    </row>
    <row r="8" customFormat="false" ht="23.25" hidden="false" customHeight="true" outlineLevel="0" collapsed="false">
      <c r="A8" s="1" t="s">
        <v>288</v>
      </c>
      <c r="B8" s="1" t="s">
        <v>289</v>
      </c>
      <c r="C8" s="1" t="s">
        <v>290</v>
      </c>
      <c r="D8" s="1" t="s">
        <v>291</v>
      </c>
      <c r="E8" s="23" t="s">
        <v>51</v>
      </c>
      <c r="F8" s="1" t="s">
        <v>44</v>
      </c>
      <c r="G8" s="1" t="s">
        <v>52</v>
      </c>
      <c r="H8" s="1" t="s">
        <v>46</v>
      </c>
      <c r="I8" s="1" t="n">
        <v>3</v>
      </c>
      <c r="J8" s="21" t="s">
        <v>287</v>
      </c>
    </row>
    <row r="9" customFormat="false" ht="23.25" hidden="false" customHeight="true" outlineLevel="0" collapsed="false">
      <c r="A9" s="1" t="s">
        <v>267</v>
      </c>
      <c r="B9" s="1" t="s">
        <v>274</v>
      </c>
      <c r="C9" s="1" t="s">
        <v>292</v>
      </c>
      <c r="D9" s="1" t="s">
        <v>293</v>
      </c>
      <c r="E9" s="23" t="s">
        <v>51</v>
      </c>
      <c r="F9" s="1" t="s">
        <v>44</v>
      </c>
      <c r="G9" s="1" t="s">
        <v>52</v>
      </c>
      <c r="H9" s="1" t="s">
        <v>46</v>
      </c>
      <c r="I9" s="1" t="n">
        <v>3</v>
      </c>
      <c r="J9" s="21" t="s">
        <v>294</v>
      </c>
    </row>
    <row r="10" customFormat="false" ht="23.25" hidden="false" customHeight="true" outlineLevel="0" collapsed="false">
      <c r="A10" s="1" t="s">
        <v>267</v>
      </c>
      <c r="B10" s="1" t="s">
        <v>261</v>
      </c>
      <c r="C10" s="1" t="s">
        <v>295</v>
      </c>
      <c r="D10" s="1" t="s">
        <v>296</v>
      </c>
      <c r="E10" s="23" t="s">
        <v>51</v>
      </c>
      <c r="F10" s="1" t="s">
        <v>44</v>
      </c>
      <c r="G10" s="1" t="s">
        <v>52</v>
      </c>
      <c r="H10" s="1" t="s">
        <v>46</v>
      </c>
      <c r="I10" s="1" t="n">
        <v>3</v>
      </c>
      <c r="J10" s="21" t="s">
        <v>297</v>
      </c>
    </row>
    <row r="11" customFormat="false" ht="34.5" hidden="false" customHeight="true" outlineLevel="0" collapsed="false">
      <c r="A11" s="1" t="s">
        <v>298</v>
      </c>
      <c r="B11" s="1" t="s">
        <v>299</v>
      </c>
      <c r="C11" s="1" t="s">
        <v>300</v>
      </c>
      <c r="D11" s="1" t="s">
        <v>301</v>
      </c>
      <c r="E11" s="23" t="s">
        <v>51</v>
      </c>
      <c r="F11" s="1" t="s">
        <v>44</v>
      </c>
      <c r="G11" s="1" t="s">
        <v>52</v>
      </c>
      <c r="H11" s="1" t="s">
        <v>46</v>
      </c>
      <c r="I11" s="1" t="n">
        <v>3</v>
      </c>
      <c r="J11" s="21" t="s">
        <v>302</v>
      </c>
    </row>
    <row r="12" customFormat="false" ht="23.25" hidden="false" customHeight="true" outlineLevel="0" collapsed="false">
      <c r="A12" s="1" t="s">
        <v>298</v>
      </c>
      <c r="B12" s="1" t="s">
        <v>299</v>
      </c>
      <c r="C12" s="1" t="s">
        <v>303</v>
      </c>
      <c r="D12" s="1" t="s">
        <v>304</v>
      </c>
      <c r="E12" s="23" t="s">
        <v>51</v>
      </c>
      <c r="F12" s="1" t="s">
        <v>44</v>
      </c>
      <c r="G12" s="1" t="s">
        <v>52</v>
      </c>
      <c r="H12" s="1" t="s">
        <v>46</v>
      </c>
      <c r="I12" s="1" t="n">
        <v>3</v>
      </c>
      <c r="J12" s="21" t="s">
        <v>305</v>
      </c>
    </row>
    <row r="13" customFormat="false" ht="23.25" hidden="false" customHeight="true" outlineLevel="0" collapsed="false">
      <c r="A13" s="1" t="s">
        <v>288</v>
      </c>
      <c r="B13" s="1" t="s">
        <v>306</v>
      </c>
      <c r="C13" s="1" t="s">
        <v>307</v>
      </c>
      <c r="D13" s="1" t="s">
        <v>308</v>
      </c>
      <c r="E13" s="20" t="s">
        <v>21</v>
      </c>
      <c r="F13" s="1" t="s">
        <v>309</v>
      </c>
      <c r="G13" s="1" t="s">
        <v>310</v>
      </c>
      <c r="H13" s="1" t="s">
        <v>24</v>
      </c>
      <c r="I13" s="1" t="n">
        <v>1</v>
      </c>
      <c r="J13" s="21" t="s">
        <v>311</v>
      </c>
    </row>
    <row r="14" customFormat="false" ht="15" hidden="false" customHeight="true" outlineLevel="0" collapsed="false">
      <c r="A14" s="1" t="s">
        <v>288</v>
      </c>
      <c r="B14" s="1" t="s">
        <v>312</v>
      </c>
      <c r="C14" s="1" t="s">
        <v>313</v>
      </c>
      <c r="D14" s="1" t="s">
        <v>314</v>
      </c>
      <c r="E14" s="23" t="s">
        <v>51</v>
      </c>
      <c r="F14" s="1" t="s">
        <v>44</v>
      </c>
      <c r="G14" s="1" t="s">
        <v>52</v>
      </c>
      <c r="H14" s="1" t="s">
        <v>46</v>
      </c>
      <c r="I14" s="1" t="n">
        <v>3</v>
      </c>
      <c r="J14" s="21" t="s">
        <v>315</v>
      </c>
    </row>
    <row r="15" customFormat="false" ht="23.25" hidden="false" customHeight="true" outlineLevel="0" collapsed="false">
      <c r="A15" s="1" t="s">
        <v>254</v>
      </c>
      <c r="B15" s="1" t="s">
        <v>316</v>
      </c>
      <c r="C15" s="1" t="s">
        <v>317</v>
      </c>
      <c r="D15" s="1" t="s">
        <v>318</v>
      </c>
      <c r="E15" s="20" t="s">
        <v>21</v>
      </c>
      <c r="F15" s="1" t="s">
        <v>319</v>
      </c>
      <c r="G15" s="1" t="s">
        <v>320</v>
      </c>
      <c r="H15" s="1" t="s">
        <v>24</v>
      </c>
      <c r="I15" s="1" t="n">
        <v>1</v>
      </c>
      <c r="J15" s="21" t="s">
        <v>321</v>
      </c>
    </row>
    <row r="16" customFormat="false" ht="15" hidden="false" customHeight="true" outlineLevel="0" collapsed="false">
      <c r="A16" s="1" t="s">
        <v>288</v>
      </c>
      <c r="B16" s="1" t="s">
        <v>322</v>
      </c>
      <c r="C16" s="1" t="s">
        <v>323</v>
      </c>
      <c r="D16" s="1" t="s">
        <v>44</v>
      </c>
      <c r="E16" s="22" t="s">
        <v>222</v>
      </c>
      <c r="F16" s="1" t="s">
        <v>44</v>
      </c>
      <c r="G16" s="1" t="s">
        <v>52</v>
      </c>
      <c r="H16" s="1" t="s">
        <v>46</v>
      </c>
      <c r="I16" s="1" t="n">
        <v>3</v>
      </c>
      <c r="J16" s="21" t="s">
        <v>324</v>
      </c>
    </row>
    <row r="18" customFormat="false" ht="15" hidden="false" customHeight="true" outlineLevel="0" collapsed="false">
      <c r="A18" s="15" t="s">
        <v>221</v>
      </c>
      <c r="B18" s="1" t="n">
        <f aca="false">COUNTIF(E2:E16,"✅ Public")</f>
        <v>6</v>
      </c>
    </row>
    <row r="19" customFormat="false" ht="15" hidden="false" customHeight="true" outlineLevel="0" collapsed="false">
      <c r="A19" s="15" t="s">
        <v>14</v>
      </c>
      <c r="B19" s="1" t="n">
        <f aca="false">COUNTIF(E2:E16,"🔒 Restricted")</f>
        <v>1</v>
      </c>
    </row>
    <row r="20" customFormat="false" ht="15" hidden="false" customHeight="true" outlineLevel="0" collapsed="false">
      <c r="A20" s="15" t="s">
        <v>51</v>
      </c>
      <c r="B20" s="1" t="n">
        <f aca="false">COUNTIF(E2:E16,"❌ No TSML")</f>
        <v>7</v>
      </c>
    </row>
    <row r="21" customFormat="false" ht="15" hidden="false" customHeight="true" outlineLevel="0" collapsed="false">
      <c r="A21" s="15" t="s">
        <v>222</v>
      </c>
      <c r="B21" s="1" t="n">
        <f aca="false">COUNTIF(E2:E16,"⚠️ Unknown")</f>
        <v>1</v>
      </c>
    </row>
    <row r="22" customFormat="false" ht="15" hidden="false" customHeight="true" outlineLevel="0" collapsed="false">
      <c r="A22" s="15" t="s">
        <v>223</v>
      </c>
      <c r="B22" s="1" t="n">
        <f aca="false">COUNTIF(H2:H16,"Yes")</f>
        <v>6</v>
      </c>
    </row>
  </sheetData>
  <autoFilter ref="A1:J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2026-03-26T20:19:22Z</dcterms:created>
  <dc:creator>openpyxl</dc:creator>
  <dc:description/>
  <dc:language>en-US</dc:language>
  <cp:lastModifiedBy/>
  <dcterms:modified xsi:type="dcterms:W3CDTF">2026-03-26T22:43:43Z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